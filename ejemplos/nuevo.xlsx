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lientes" sheetId="2" state="visible" r:id="rId2"/>
    <sheet name="Resumen" sheetId="3" state="visible" r:id="rId3"/>
    <sheet name="Promo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 (€)</t>
        </is>
      </c>
      <c r="E1" s="1" t="inlineStr">
        <is>
          <t>Stock</t>
        </is>
      </c>
      <c r="F1" s="1" t="inlineStr">
        <is>
          <t>Total (€)</t>
        </is>
      </c>
    </row>
    <row r="2">
      <c r="A2" t="inlineStr">
        <is>
          <t>P001</t>
        </is>
      </c>
      <c r="B2" t="inlineStr">
        <is>
          <t>Manzana Golden</t>
        </is>
      </c>
      <c r="C2" t="inlineStr">
        <is>
          <t>Fruta</t>
        </is>
      </c>
      <c r="D2" s="2" t="n">
        <v>1.35</v>
      </c>
      <c r="E2" t="n">
        <v>180</v>
      </c>
      <c r="F2" s="2">
        <f>D2*E2</f>
        <v/>
      </c>
    </row>
    <row r="3">
      <c r="A3" t="inlineStr">
        <is>
          <t>P002</t>
        </is>
      </c>
      <c r="B3" t="inlineStr">
        <is>
          <t>Pera Conferencia</t>
        </is>
      </c>
      <c r="C3" t="inlineStr">
        <is>
          <t>Fruta</t>
        </is>
      </c>
      <c r="D3" s="2" t="n">
        <v>1.8</v>
      </c>
      <c r="E3" t="n">
        <v>90</v>
      </c>
      <c r="F3" s="2">
        <f>D3*E3</f>
        <v/>
      </c>
    </row>
    <row r="4">
      <c r="A4" t="inlineStr">
        <is>
          <t>P003</t>
        </is>
      </c>
      <c r="B4" t="inlineStr">
        <is>
          <t>Naranja Navel</t>
        </is>
      </c>
      <c r="C4" t="inlineStr">
        <is>
          <t>Fruta</t>
        </is>
      </c>
      <c r="D4" s="2" t="n">
        <v>1.6</v>
      </c>
      <c r="E4" t="n">
        <v>120</v>
      </c>
      <c r="F4" s="2">
        <f>D4*E4</f>
        <v/>
      </c>
    </row>
    <row r="5">
      <c r="A5" t="inlineStr">
        <is>
          <t>P005</t>
        </is>
      </c>
      <c r="B5" t="inlineStr">
        <is>
          <t>Lechuga Iceberg</t>
        </is>
      </c>
      <c r="C5" t="inlineStr">
        <is>
          <t>Verdura</t>
        </is>
      </c>
      <c r="D5" s="2" t="n">
        <v>1.1</v>
      </c>
      <c r="E5" t="n">
        <v>55</v>
      </c>
      <c r="F5" s="2">
        <f>D5*E5</f>
        <v/>
      </c>
    </row>
    <row r="6">
      <c r="A6" t="inlineStr">
        <is>
          <t>P006</t>
        </is>
      </c>
      <c r="B6" t="inlineStr">
        <is>
          <t>Pan Integral</t>
        </is>
      </c>
      <c r="C6" t="inlineStr">
        <is>
          <t>Panadería</t>
        </is>
      </c>
      <c r="D6" s="2" t="n">
        <v>2.3</v>
      </c>
      <c r="E6" t="n">
        <v>30</v>
      </c>
      <c r="F6" s="2">
        <f>D6*E6</f>
        <v/>
      </c>
    </row>
    <row r="7">
      <c r="A7" t="inlineStr">
        <is>
          <t>P007</t>
        </is>
      </c>
      <c r="B7" t="inlineStr">
        <is>
          <t>Leche Entera</t>
        </is>
      </c>
      <c r="C7" t="inlineStr">
        <is>
          <t>Lácteos</t>
        </is>
      </c>
      <c r="D7" s="2" t="n">
        <v>1.05</v>
      </c>
      <c r="E7" t="n">
        <v>200</v>
      </c>
      <c r="F7" s="2">
        <f>D7*E7</f>
        <v/>
      </c>
    </row>
    <row r="8">
      <c r="A8" t="inlineStr">
        <is>
          <t>P008</t>
        </is>
      </c>
      <c r="B8" t="inlineStr">
        <is>
          <t>Queso Manchego DOP</t>
        </is>
      </c>
      <c r="C8" t="inlineStr">
        <is>
          <t>Lácteos</t>
        </is>
      </c>
      <c r="D8" s="2" t="n">
        <v>13.9</v>
      </c>
      <c r="E8" t="n">
        <v>20</v>
      </c>
      <c r="F8" s="2">
        <f>D8*E8</f>
        <v/>
      </c>
    </row>
    <row r="9">
      <c r="A9" t="inlineStr">
        <is>
          <t>P009</t>
        </is>
      </c>
      <c r="B9" t="inlineStr">
        <is>
          <t>Yogur Natural</t>
        </is>
      </c>
      <c r="C9" t="inlineStr">
        <is>
          <t>Lácteos</t>
        </is>
      </c>
      <c r="D9" s="2" t="n">
        <v>0.75</v>
      </c>
      <c r="E9" t="n">
        <v>300</v>
      </c>
      <c r="F9" s="2">
        <f>D9*E9</f>
        <v/>
      </c>
    </row>
    <row r="10">
      <c r="A10" t="inlineStr">
        <is>
          <t>P010</t>
        </is>
      </c>
      <c r="B10" t="inlineStr">
        <is>
          <t>Aceite Oliva Virgen</t>
        </is>
      </c>
      <c r="C10" t="inlineStr">
        <is>
          <t>Despensa</t>
        </is>
      </c>
      <c r="D10" s="2" t="n">
        <v>9.199999999999999</v>
      </c>
      <c r="E10" t="n">
        <v>45</v>
      </c>
      <c r="F10" s="2">
        <f>D10*E10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8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Email</t>
        </is>
      </c>
      <c r="E1" s="1" t="inlineStr">
        <is>
          <t>Activo</t>
        </is>
      </c>
    </row>
    <row r="2">
      <c r="A2" t="n">
        <v>1</v>
      </c>
      <c r="B2" t="inlineStr">
        <is>
          <t>Industrias Pérez S.L.</t>
        </is>
      </c>
      <c r="C2" t="inlineStr">
        <is>
          <t>Madrid</t>
        </is>
      </c>
      <c r="D2" t="inlineStr">
        <is>
          <t>pedidos@perez.es</t>
        </is>
      </c>
      <c r="E2" t="inlineStr">
        <is>
          <t>Sí</t>
        </is>
      </c>
    </row>
    <row r="3">
      <c r="A3" t="n">
        <v>2</v>
      </c>
      <c r="B3" t="inlineStr">
        <is>
          <t>Distribuciones García S.A.</t>
        </is>
      </c>
      <c r="C3" t="inlineStr">
        <is>
          <t>Barcelona</t>
        </is>
      </c>
      <c r="D3" t="inlineStr">
        <is>
          <t>compras@garcia.com</t>
        </is>
      </c>
      <c r="E3" t="inlineStr">
        <is>
          <t>Sí</t>
        </is>
      </c>
    </row>
    <row r="4">
      <c r="A4" t="n">
        <v>3</v>
      </c>
      <c r="B4" t="inlineStr">
        <is>
          <t>Logística Norte</t>
        </is>
      </c>
      <c r="C4" t="inlineStr">
        <is>
          <t>Vitoria</t>
        </is>
      </c>
      <c r="D4" t="inlineStr">
        <is>
          <t>info@lognorte.es</t>
        </is>
      </c>
      <c r="E4" t="inlineStr">
        <is>
          <t>Sí</t>
        </is>
      </c>
    </row>
    <row r="5">
      <c r="A5" t="n">
        <v>4</v>
      </c>
      <c r="B5" t="inlineStr">
        <is>
          <t>Comercial Sur</t>
        </is>
      </c>
      <c r="C5" t="inlineStr">
        <is>
          <t>Sevilla</t>
        </is>
      </c>
      <c r="D5" t="inlineStr">
        <is>
          <t>ventas@comsur.com</t>
        </is>
      </c>
      <c r="E5" t="inlineStr">
        <is>
          <t>Sí</t>
        </is>
      </c>
    </row>
    <row r="6">
      <c r="A6" t="n">
        <v>5</v>
      </c>
      <c r="B6" t="inlineStr">
        <is>
          <t>Almacenes Centro</t>
        </is>
      </c>
      <c r="C6" t="inlineStr">
        <is>
          <t>Valladolid</t>
        </is>
      </c>
      <c r="D6" t="inlineStr">
        <is>
          <t>centro@almacenes.es</t>
        </is>
      </c>
      <c r="E6" t="inlineStr">
        <is>
          <t>Sí</t>
        </is>
      </c>
    </row>
    <row r="7">
      <c r="A7" t="n">
        <v>6</v>
      </c>
      <c r="B7" t="inlineStr">
        <is>
          <t>Mercados Levante</t>
        </is>
      </c>
      <c r="C7" t="inlineStr">
        <is>
          <t>Valencia</t>
        </is>
      </c>
      <c r="D7" t="inlineStr">
        <is>
          <t>info@mercadolevante.es</t>
        </is>
      </c>
      <c r="E7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Nº de productos</t>
        </is>
      </c>
      <c r="B2">
        <f>COUNTA(Productos!A2:A200)</f>
        <v/>
      </c>
    </row>
    <row r="3">
      <c r="A3" t="inlineStr">
        <is>
          <t>Stock total</t>
        </is>
      </c>
      <c r="B3">
        <f>SUM(Productos!E2:E200)</f>
        <v/>
      </c>
    </row>
    <row r="4">
      <c r="A4" t="inlineStr">
        <is>
          <t>Valor inventario (€)</t>
        </is>
      </c>
      <c r="B4" s="2">
        <f>SUM(Productos!F2:F200)</f>
        <v/>
      </c>
    </row>
    <row r="5">
      <c r="A5" t="inlineStr">
        <is>
          <t>Precio medio (€)</t>
        </is>
      </c>
      <c r="B5" s="2">
        <f>AVERAGE(Productos!D2:D200)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Descuento (%)</t>
        </is>
      </c>
      <c r="C1" s="1" t="inlineStr">
        <is>
          <t>Fecha fin</t>
        </is>
      </c>
    </row>
    <row r="2">
      <c r="A2" t="inlineStr">
        <is>
          <t>P001</t>
        </is>
      </c>
      <c r="B2" t="n">
        <v>10</v>
      </c>
      <c r="C2" t="inlineStr">
        <is>
          <t>2026-06-30</t>
        </is>
      </c>
    </row>
    <row r="3">
      <c r="A3" t="inlineStr">
        <is>
          <t>P008</t>
        </is>
      </c>
      <c r="B3" t="n">
        <v>15</v>
      </c>
      <c r="C3" t="inlineStr">
        <is>
          <t>2026-06-15</t>
        </is>
      </c>
    </row>
    <row r="4">
      <c r="A4" t="inlineStr">
        <is>
          <t>P010</t>
        </is>
      </c>
      <c r="B4" t="n">
        <v>20</v>
      </c>
      <c r="C4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2026-05-26T15:17:15Z</dcterms:created>
  <dcterms:modified xsi:type="dcterms:W3CDTF">2026-05-26T15:17:15Z</dcterms:modified>
</cp:coreProperties>
</file>